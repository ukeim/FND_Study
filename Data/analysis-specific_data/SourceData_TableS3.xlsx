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Data\"/>
    </mc:Choice>
  </mc:AlternateContent>
  <xr:revisionPtr revIDLastSave="0" documentId="13_ncr:1_{B288ADFB-409E-481A-9EC5-B977839E0877}" xr6:coauthVersionLast="47" xr6:coauthVersionMax="47" xr10:uidLastSave="{00000000-0000-0000-0000-000000000000}"/>
  <bookViews>
    <workbookView xWindow="-110" yWindow="-110" windowWidth="19420" windowHeight="11620" xr2:uid="{47CBBB87-D8C4-4196-AFDD-708821A81295}"/>
  </bookViews>
  <sheets>
    <sheet name="SourceData_Table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  <c r="B23" i="1"/>
</calcChain>
</file>

<file path=xl/sharedStrings.xml><?xml version="1.0" encoding="utf-8"?>
<sst xmlns="http://schemas.openxmlformats.org/spreadsheetml/2006/main" count="25" uniqueCount="25">
  <si>
    <t>Nevus cell nevus</t>
  </si>
  <si>
    <t>Atypical nevus cell nevus</t>
  </si>
  <si>
    <t>Dysplastic cell nevus</t>
  </si>
  <si>
    <t>Blue nevus</t>
  </si>
  <si>
    <t>Spitz nrvus</t>
  </si>
  <si>
    <t>Spindle nevus</t>
  </si>
  <si>
    <t>Basal cell carcinoma</t>
  </si>
  <si>
    <t>Granuloma pyogenicum</t>
  </si>
  <si>
    <t>Fibrosarcoma</t>
  </si>
  <si>
    <t>Malignant fibrous histiocytoma</t>
  </si>
  <si>
    <t>Histiocytoma</t>
  </si>
  <si>
    <t>Melanoma in situ</t>
  </si>
  <si>
    <t>Squamous cell carcinoma</t>
  </si>
  <si>
    <t>Benign squamous keratosis</t>
  </si>
  <si>
    <t>Seborrheic kertatosis</t>
  </si>
  <si>
    <t>Verruca vulgaris</t>
  </si>
  <si>
    <t>Irritant acanthosis</t>
  </si>
  <si>
    <t>Giant cell tumor</t>
  </si>
  <si>
    <t>Nonspecific chronic granulating inflammation</t>
  </si>
  <si>
    <t>Polypous granulation tissue</t>
  </si>
  <si>
    <t>Traumatic hemorrhage</t>
  </si>
  <si>
    <t>Total</t>
  </si>
  <si>
    <t>n</t>
  </si>
  <si>
    <t>%</t>
  </si>
  <si>
    <t>Histopathological false-negative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</si>
</sst>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CBF6-046D-461B-B5DC-8911C6BA551C}">
  <dimension ref="A1:C23"/>
  <sheetViews>
    <sheetView tabSelected="1" workbookViewId="0">
      <selection activeCell="B9" sqref="B9"/>
    </sheetView>
  </sheetViews>
  <sheetFormatPr baseColWidth="10" defaultRowHeight="14"/>
  <cols>
    <col min="1" max="1" width="36.6640625" bestFit="1" customWidth="1"/>
  </cols>
  <sheetData>
    <row r="1" spans="1:3" s="1" customFormat="1">
      <c r="A1" s="1" t="s">
        <v>24</v>
      </c>
      <c r="B1" s="1" t="s">
        <v>22</v>
      </c>
      <c r="C1" s="1" t="s">
        <v>23</v>
      </c>
    </row>
    <row r="2" spans="1:3">
      <c r="A2" t="s">
        <v>0</v>
      </c>
      <c r="B2">
        <v>41</v>
      </c>
      <c r="C2" s="2">
        <f>(B2/73)*100</f>
        <v>56.164383561643838</v>
      </c>
    </row>
    <row r="3" spans="1:3">
      <c r="A3" t="s">
        <v>1</v>
      </c>
      <c r="B3">
        <v>1</v>
      </c>
      <c r="C3" s="2">
        <f t="shared" ref="C3:C23" si="0">(B3/73)*100</f>
        <v>1.3698630136986301</v>
      </c>
    </row>
    <row r="4" spans="1:3">
      <c r="A4" t="s">
        <v>2</v>
      </c>
      <c r="B4">
        <v>6</v>
      </c>
      <c r="C4" s="2">
        <f t="shared" si="0"/>
        <v>8.2191780821917799</v>
      </c>
    </row>
    <row r="5" spans="1:3">
      <c r="A5" t="s">
        <v>3</v>
      </c>
      <c r="B5">
        <v>2</v>
      </c>
      <c r="C5" s="2">
        <f t="shared" si="0"/>
        <v>2.7397260273972601</v>
      </c>
    </row>
    <row r="6" spans="1:3">
      <c r="A6" t="s">
        <v>4</v>
      </c>
      <c r="B6">
        <v>4</v>
      </c>
      <c r="C6" s="2">
        <f t="shared" si="0"/>
        <v>5.4794520547945202</v>
      </c>
    </row>
    <row r="7" spans="1:3">
      <c r="A7" t="s">
        <v>5</v>
      </c>
      <c r="B7">
        <v>2</v>
      </c>
      <c r="C7" s="2">
        <f t="shared" si="0"/>
        <v>2.7397260273972601</v>
      </c>
    </row>
    <row r="8" spans="1:3">
      <c r="A8" t="s">
        <v>6</v>
      </c>
      <c r="B8">
        <v>2</v>
      </c>
      <c r="C8" s="2">
        <f t="shared" si="0"/>
        <v>2.7397260273972601</v>
      </c>
    </row>
    <row r="9" spans="1:3">
      <c r="A9" t="s">
        <v>7</v>
      </c>
      <c r="B9">
        <v>2</v>
      </c>
      <c r="C9" s="2">
        <f t="shared" si="0"/>
        <v>2.7397260273972601</v>
      </c>
    </row>
    <row r="10" spans="1:3">
      <c r="A10" t="s">
        <v>8</v>
      </c>
      <c r="B10">
        <v>1</v>
      </c>
      <c r="C10" s="2">
        <f t="shared" si="0"/>
        <v>1.3698630136986301</v>
      </c>
    </row>
    <row r="11" spans="1:3">
      <c r="A11" t="s">
        <v>9</v>
      </c>
      <c r="B11">
        <v>1</v>
      </c>
      <c r="C11" s="2">
        <f t="shared" si="0"/>
        <v>1.3698630136986301</v>
      </c>
    </row>
    <row r="12" spans="1:3">
      <c r="A12" t="s">
        <v>10</v>
      </c>
      <c r="B12">
        <v>1</v>
      </c>
      <c r="C12" s="2">
        <f t="shared" si="0"/>
        <v>1.3698630136986301</v>
      </c>
    </row>
    <row r="13" spans="1:3">
      <c r="A13" t="s">
        <v>11</v>
      </c>
      <c r="B13">
        <v>1</v>
      </c>
      <c r="C13" s="2">
        <f t="shared" si="0"/>
        <v>1.3698630136986301</v>
      </c>
    </row>
    <row r="14" spans="1:3">
      <c r="A14" t="s">
        <v>12</v>
      </c>
      <c r="B14">
        <v>1</v>
      </c>
      <c r="C14" s="2">
        <f t="shared" si="0"/>
        <v>1.3698630136986301</v>
      </c>
    </row>
    <row r="15" spans="1:3">
      <c r="A15" t="s">
        <v>13</v>
      </c>
      <c r="B15">
        <v>1</v>
      </c>
      <c r="C15" s="2">
        <f t="shared" si="0"/>
        <v>1.3698630136986301</v>
      </c>
    </row>
    <row r="16" spans="1:3">
      <c r="A16" t="s">
        <v>14</v>
      </c>
      <c r="B16">
        <v>1</v>
      </c>
      <c r="C16" s="2">
        <f t="shared" si="0"/>
        <v>1.3698630136986301</v>
      </c>
    </row>
    <row r="17" spans="1:3">
      <c r="A17" t="s">
        <v>15</v>
      </c>
      <c r="B17">
        <v>1</v>
      </c>
      <c r="C17" s="2">
        <f t="shared" si="0"/>
        <v>1.3698630136986301</v>
      </c>
    </row>
    <row r="18" spans="1:3">
      <c r="A18" t="s">
        <v>16</v>
      </c>
      <c r="B18">
        <v>1</v>
      </c>
      <c r="C18" s="2">
        <f t="shared" si="0"/>
        <v>1.3698630136986301</v>
      </c>
    </row>
    <row r="19" spans="1:3">
      <c r="A19" t="s">
        <v>17</v>
      </c>
      <c r="B19">
        <v>1</v>
      </c>
      <c r="C19" s="2">
        <f t="shared" si="0"/>
        <v>1.3698630136986301</v>
      </c>
    </row>
    <row r="20" spans="1:3">
      <c r="A20" t="s">
        <v>18</v>
      </c>
      <c r="B20">
        <v>1</v>
      </c>
      <c r="C20" s="2">
        <f t="shared" si="0"/>
        <v>1.3698630136986301</v>
      </c>
    </row>
    <row r="21" spans="1:3">
      <c r="A21" t="s">
        <v>19</v>
      </c>
      <c r="B21">
        <v>1</v>
      </c>
      <c r="C21" s="2">
        <f t="shared" si="0"/>
        <v>1.3698630136986301</v>
      </c>
    </row>
    <row r="22" spans="1:3">
      <c r="A22" t="s">
        <v>20</v>
      </c>
      <c r="B22">
        <v>1</v>
      </c>
      <c r="C22" s="2">
        <f t="shared" si="0"/>
        <v>1.3698630136986301</v>
      </c>
    </row>
    <row r="23" spans="1:3" s="1" customFormat="1">
      <c r="A23" s="1" t="s">
        <v>21</v>
      </c>
      <c r="B23" s="1">
        <f>SUM(B2:B22)</f>
        <v>73</v>
      </c>
      <c r="C23" s="2">
        <f t="shared" si="0"/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SourceData_TableS3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Ulrike Keim</dc:creator>
  <cp:lastModifiedBy>Dr. Ulrike Keim</cp:lastModifiedBy>
  <dcterms:created xsi:type="dcterms:W3CDTF">2026-05-20T13:11:30Z</dcterms:created>
  <dcterms:modified xsi:type="dcterms:W3CDTF">2026-05-20T14:05:55Z</dcterms:modified>
</cp:coreProperties>
</file>